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<sst xmlns="http://schemas.openxmlformats.org/spreadsheetml/2006/main" count="324" uniqueCount="239">
  <si>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</si>
  <si>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</si>
  <si>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</si>
  <si>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</si>
  <si>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</si>
  <si>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</si>
  <si>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</si>
  <si>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Vlaue</t>
  </si>
  <si>
    <t>Quantity</t>
  </si>
  <si>
    <t>Remarks</t>
  </si>
  <si>
    <t>Capacitor</t>
  </si>
  <si>
    <t>C1, C2, C10, C11, C12, C14, C15, C16, C19, C23, C24, C25, C26, C27, C28, C29, C30, C31, C32, C34, C36, C38, C41, C42, C43, C44, C45, C47, C50</t>
  </si>
  <si>
    <t>CAP CER 0.1UF 100V X5R 0402</t>
  </si>
  <si>
    <t>Cap-0402</t>
  </si>
  <si>
    <t>GRM155R62A104KE14D</t>
  </si>
  <si>
    <t>Murata</t>
  </si>
  <si>
    <t>0.1uf</t>
  </si>
  <si>
    <t>C3, C4</t>
  </si>
  <si>
    <t>CAP CER 33PF 50V C0G/NPO 0201</t>
  </si>
  <si>
    <t>CAP-0201</t>
  </si>
  <si>
    <t>CC0201JRNPO9BN330</t>
  </si>
  <si>
    <t>Yageo</t>
  </si>
  <si>
    <t>33pF</t>
  </si>
  <si>
    <t>C5, C6</t>
  </si>
  <si>
    <t>CAP CER 2.2UF 6.3V X5R 0402</t>
  </si>
  <si>
    <t>C1005X5R0J225KTJA0E</t>
  </si>
  <si>
    <t>TDK</t>
  </si>
  <si>
    <t>2.2uF</t>
  </si>
  <si>
    <t>C7, C8</t>
  </si>
  <si>
    <t>CAP CER 15PF 50V C0G/NPO 0201</t>
  </si>
  <si>
    <t>Cap-0201</t>
  </si>
  <si>
    <t>CC0201JRNPO9BN150</t>
  </si>
  <si>
    <t>15pF</t>
  </si>
  <si>
    <t>C9, C13, C17, C18, C21, C22</t>
  </si>
  <si>
    <t>CAP CER 10UF 25V X5R 0603</t>
  </si>
  <si>
    <t>Cap-0603</t>
  </si>
  <si>
    <t>GRM188R61E106KA73D</t>
  </si>
  <si>
    <t>10uF</t>
  </si>
  <si>
    <t>C20, C33</t>
  </si>
  <si>
    <t>CAP CER 4700PF 1KV X7R 1206</t>
  </si>
  <si>
    <t>Cap-1206</t>
  </si>
  <si>
    <t>CC1206KKX7RCBB472</t>
  </si>
  <si>
    <t>4.7nF</t>
  </si>
  <si>
    <t>C35, C37, C39, C40</t>
  </si>
  <si>
    <t>CAP CER 10UF 10V X5R 0402</t>
  </si>
  <si>
    <t>CL05A106MP5NUNC</t>
  </si>
  <si>
    <t>Samsung</t>
  </si>
  <si>
    <t>C49</t>
  </si>
  <si>
    <t>CAP CER 1UF 25V X5R 0603</t>
  </si>
  <si>
    <t>CC0603KRX5R8BB105</t>
  </si>
  <si>
    <t>1uF</t>
  </si>
  <si>
    <t>Diode</t>
  </si>
  <si>
    <t>D1</t>
  </si>
  <si>
    <t>16A 20V 7V 5V@Max Unidirectional SOT-23 TVS ROHS</t>
  </si>
  <si>
    <t>Sot-23</t>
  </si>
  <si>
    <t>ESD5302F-3/TR</t>
  </si>
  <si>
    <t>WILLSEMI</t>
  </si>
  <si>
    <t>-</t>
  </si>
  <si>
    <t>TVS Diodes</t>
  </si>
  <si>
    <t>D2</t>
  </si>
  <si>
    <t>TVS DIODE 24VWM 40VC SOT23-3</t>
  </si>
  <si>
    <t>SOT-23</t>
  </si>
  <si>
    <t>CDSOT23-T24CAN-Q</t>
  </si>
  <si>
    <t>Bourns</t>
  </si>
  <si>
    <t>D3</t>
  </si>
  <si>
    <t>TVS SURGE PROTECTOR 1-CH 3.3V</t>
  </si>
  <si>
    <t>SOD-123</t>
  </si>
  <si>
    <t>AZ3003-01G</t>
  </si>
  <si>
    <t>Amazing</t>
  </si>
  <si>
    <t>D4, D5, D6, D7, D8, D9, D10, D11, D12, D13, D14, D18, D19, D20, D21, D22, D23, D24, D25, D26, D27, D28, D29, D30, D31, D32, D33, D35, D37, D38, D39, D40, D41, D42</t>
  </si>
  <si>
    <t>TVS DIODE 3.3VWM 3.7VC DSN0603-2</t>
  </si>
  <si>
    <t>DSN0603-2</t>
  </si>
  <si>
    <t>PESD3V3Y1BSFYL</t>
  </si>
  <si>
    <t>Nexperia</t>
  </si>
  <si>
    <t>TVS/ESD</t>
  </si>
  <si>
    <t>D15</t>
  </si>
  <si>
    <t>58.1A 600W 10.5V@58.1A 6.45V Unidirectional 5.8V SMB Electrostatic and Surge Protection (TVS/ESD) ROHS</t>
  </si>
  <si>
    <t>SMB_</t>
  </si>
  <si>
    <t>P6SMB6.8A</t>
  </si>
  <si>
    <t>BORN</t>
  </si>
  <si>
    <t>TVS Diode</t>
  </si>
  <si>
    <t>D16</t>
  </si>
  <si>
    <t>TVS DIODE 12VWM 19.9VC MICROSMP</t>
  </si>
  <si>
    <t>MicroSMP</t>
  </si>
  <si>
    <t>MSMP12A-M3/89A</t>
  </si>
  <si>
    <t>Vishay Intertech</t>
  </si>
  <si>
    <t>(TVS/ESD)</t>
  </si>
  <si>
    <t>D17</t>
  </si>
  <si>
    <t>DIODE BIDIR ESD X4DFN2</t>
  </si>
  <si>
    <t>DFN-2(0.3x0.6)</t>
  </si>
  <si>
    <t>ESDM2033MX4T5G</t>
  </si>
  <si>
    <t>ON Semiconductor</t>
  </si>
  <si>
    <t>D34, D36</t>
  </si>
  <si>
    <t>TVS DIODE 5VWM 6.3VC DSN0603-2</t>
  </si>
  <si>
    <t>Custom</t>
  </si>
  <si>
    <t>PESD5V0H1BSFYL</t>
  </si>
  <si>
    <t>Ferrite Bead</t>
  </si>
  <si>
    <t>FB1, FB2</t>
  </si>
  <si>
    <t>FERRITE BEAD 22 OHM 0805 1LN</t>
  </si>
  <si>
    <t>Ind-0805</t>
  </si>
  <si>
    <t>BLM21PG220SN1D</t>
  </si>
  <si>
    <t>Connector</t>
  </si>
  <si>
    <t>J1, J2, J3, J4, J5, J6, J7, J8, J12, J13</t>
  </si>
  <si>
    <t>CONN HEADER SMD 6POS 1.5MM</t>
  </si>
  <si>
    <t>B6B-ZR-SM4-TF(LF)(SN)</t>
  </si>
  <si>
    <t>JST</t>
  </si>
  <si>
    <t>Header</t>
  </si>
  <si>
    <t>J9</t>
  </si>
  <si>
    <t>250V 3A Standing paste Policy 2.5mm 6mm 6P -40℃~+105℃ 2.54mm Double Row Black 2.54mm 2x3P SMD,P=2.54mm Pin Headers ROHS</t>
  </si>
  <si>
    <t>HDR 2x3 Male SMD 2.54mm</t>
  </si>
  <si>
    <t>PZ254-2-03-S</t>
  </si>
  <si>
    <t>HCTL</t>
  </si>
  <si>
    <t>Wire To Board Connector</t>
  </si>
  <si>
    <t>J10</t>
  </si>
  <si>
    <t>CONN HEADER SMD 3POS 1.25MM</t>
  </si>
  <si>
    <t>Molex</t>
  </si>
  <si>
    <t>Ethernet</t>
  </si>
  <si>
    <t>J11</t>
  </si>
  <si>
    <t>RJ45 RJReceptacle 1 有屏蔽 Sink board WithLED -40℃~+70℃ Plugin Ethernet Connectors/Modular Connectors (RJ45 RJ11) ROHS</t>
  </si>
  <si>
    <t>RC01835</t>
  </si>
  <si>
    <t>RCH</t>
  </si>
  <si>
    <t>USB Connector</t>
  </si>
  <si>
    <t>J14</t>
  </si>
  <si>
    <t>1 Brick nogging 16 Female -25℃~+85℃ Type-C SMD USB Connectors ROHS</t>
  </si>
  <si>
    <t>TYPE-C-31-D-06</t>
  </si>
  <si>
    <t>Korean Hroparts Elec</t>
  </si>
  <si>
    <t>Pin Header</t>
  </si>
  <si>
    <t>J15</t>
  </si>
  <si>
    <t>MACHINE PIN SOCKET 5P 2.54MM PIT</t>
  </si>
  <si>
    <t>SMC-1-05-1-GT</t>
  </si>
  <si>
    <t>Adam Equipment</t>
  </si>
  <si>
    <t>RGB LED</t>
  </si>
  <si>
    <t>LED1</t>
  </si>
  <si>
    <t>20mA White Diffused -40℃~+85℃ RGB SMD5050 Light Emitting Diodes (LED) ROHS</t>
  </si>
  <si>
    <t>MHP5050RGBDT</t>
  </si>
  <si>
    <t>MEIHUA</t>
  </si>
  <si>
    <t>Mosfet</t>
  </si>
  <si>
    <t>Q1, Q2</t>
  </si>
  <si>
    <t>TRANS NPN 40V 0.6A SMD SOT23-3</t>
  </si>
  <si>
    <t>MMBT2222A-7-F</t>
  </si>
  <si>
    <t>Diodes</t>
  </si>
  <si>
    <t>Resistor</t>
  </si>
  <si>
    <t>R1, R2, R3, R16, R22</t>
  </si>
  <si>
    <t>RES 10K OHM 1% 1/16W 0402</t>
  </si>
  <si>
    <t>Res-0402</t>
  </si>
  <si>
    <t>RC0402FR-0710KL</t>
  </si>
  <si>
    <t>10K</t>
  </si>
  <si>
    <t>R4</t>
  </si>
  <si>
    <t>RES SMD 2.2K OHM 0.1% 1/10W 0603</t>
  </si>
  <si>
    <t>Res-0603</t>
  </si>
  <si>
    <t>RT0603BRB072K2L</t>
  </si>
  <si>
    <t>2.2K</t>
  </si>
  <si>
    <t>R5, R7, R9, R10, R11, R12</t>
  </si>
  <si>
    <t>RES SMD 6.34KOHM 0.1% 1/10W 0603</t>
  </si>
  <si>
    <t>RT0603BRD076K34L</t>
  </si>
  <si>
    <t>6.34k</t>
  </si>
  <si>
    <t>Resistor, [NoParam]</t>
  </si>
  <si>
    <t>R6, R8</t>
  </si>
  <si>
    <t>RES 1K OHM 1% 1/16W 0402, RES SMD 1K OHM 1% 1/5W 0402</t>
  </si>
  <si>
    <t>RC0402FR-071KL, CRCW04021K00FKEDHP</t>
  </si>
  <si>
    <t>Yageo, Vishay Dale</t>
  </si>
  <si>
    <t>1K</t>
  </si>
  <si>
    <t>R13</t>
  </si>
  <si>
    <t>RES SMD 150OHM 1/10W 0603</t>
  </si>
  <si>
    <t>RC0603FR-07150RL</t>
  </si>
  <si>
    <t>150R</t>
  </si>
  <si>
    <t>R14, R15</t>
  </si>
  <si>
    <t>RES 47 OHM 1% 1/16W 0402</t>
  </si>
  <si>
    <t>RC0402FR-0747RL</t>
  </si>
  <si>
    <t>47R</t>
  </si>
  <si>
    <t>R17, R18</t>
  </si>
  <si>
    <t>RES 5.1K OHM 1% 1/16W 0402</t>
  </si>
  <si>
    <t>RC0402FR-075K1L</t>
  </si>
  <si>
    <t>5.1K</t>
  </si>
  <si>
    <t>R19, R25</t>
  </si>
  <si>
    <t>RES SMD 1M OHM 1% 1/10W 0603</t>
  </si>
  <si>
    <t>RC0603FR-071ML</t>
  </si>
  <si>
    <t>1M</t>
  </si>
  <si>
    <t>Resistors</t>
  </si>
  <si>
    <t>R20, R21</t>
  </si>
  <si>
    <t>RES SMD 57.6 OHM 1% 1/10W 0402</t>
  </si>
  <si>
    <t>ERJ-2RKF57R6X</t>
  </si>
  <si>
    <t>Panasonic</t>
  </si>
  <si>
    <t>57.6R</t>
  </si>
  <si>
    <t>R23, R24</t>
  </si>
  <si>
    <t>RES 4.7K OHM 1% 1/16W 0402</t>
  </si>
  <si>
    <t>RC0402FR-074K7L</t>
  </si>
  <si>
    <t>4.7K</t>
  </si>
  <si>
    <t>SW1</t>
  </si>
  <si>
    <t>4.5mm 7mm 50mA Round Button Straight 4.5mm 180gf 12V Plugin Tactile Switches ROHS</t>
  </si>
  <si>
    <t>TSC016A07018A</t>
  </si>
  <si>
    <t>BZCN</t>
  </si>
  <si>
    <t>Switch</t>
  </si>
  <si>
    <t>SW3</t>
  </si>
  <si>
    <t>SWITCH TACTILE SPST-NO 0.05A 12V</t>
  </si>
  <si>
    <t>B3U-1000P</t>
  </si>
  <si>
    <t>Omron</t>
  </si>
  <si>
    <t>IC</t>
  </si>
  <si>
    <t>U1</t>
  </si>
  <si>
    <t>IC SENSOR THERMAL 3.0V 8TSSOP</t>
  </si>
  <si>
    <t>8-TSSOP</t>
  </si>
  <si>
    <t>MCP9805-BE/ST</t>
  </si>
  <si>
    <t>Microchip</t>
  </si>
  <si>
    <t>U2</t>
  </si>
  <si>
    <t>IC MCU 32BIT 512KB FLASH 100LQFP</t>
  </si>
  <si>
    <t>LQFP-100</t>
  </si>
  <si>
    <t>STM32F407VET6</t>
  </si>
  <si>
    <t>STMicroelectronics</t>
  </si>
  <si>
    <t>U3, U5, U7, U8, U9, U10</t>
  </si>
  <si>
    <t>33V H BRIDGE MOTOR DRIVER WITH C</t>
  </si>
  <si>
    <t>WSON-8(2x2)</t>
  </si>
  <si>
    <t>DRV8231ADSGR</t>
  </si>
  <si>
    <t>Texas Instruments</t>
  </si>
  <si>
    <t>U4, U6, U11, U12, U13, U14</t>
  </si>
  <si>
    <t>IC CMOS 1 CIRCUIT SC70-5</t>
  </si>
  <si>
    <t>SC-70-5</t>
  </si>
  <si>
    <t>TLV9001IDCKR</t>
  </si>
  <si>
    <t>U15</t>
  </si>
  <si>
    <t>IC TRANSCEIVER HALF 1/1 8SOIC</t>
  </si>
  <si>
    <t>SOIC-8(0.154", 3.90mm Width)</t>
  </si>
  <si>
    <t>SN65HVDA1040AQDRQ1</t>
  </si>
  <si>
    <t>U16</t>
  </si>
  <si>
    <t>IC BUF NON-INVERT 5.5V SOT23-5</t>
  </si>
  <si>
    <t>SOT-23-5</t>
  </si>
  <si>
    <t>SN74LV1T34DBVR</t>
  </si>
  <si>
    <t>Crystals</t>
  </si>
  <si>
    <t>X1</t>
  </si>
  <si>
    <t>20MHz Surface Mount Crystal 20pF ±10ppm ±20ppm SMD3225-4P Crystals ROHS</t>
  </si>
  <si>
    <t>SMD3225-4P</t>
  </si>
  <si>
    <t>X322520MSB4SI</t>
  </si>
  <si>
    <t>YXC Crystal Oscillators</t>
  </si>
  <si>
    <t>20MHz</t>
  </si>
  <si>
    <t>Crystal</t>
  </si>
  <si>
    <t>X2</t>
  </si>
  <si>
    <t>CRYSTAL 32.7680KHZ 9PF SMD</t>
  </si>
  <si>
    <t>SMD2012-2P</t>
  </si>
  <si>
    <t>FC-12M32.768KHZ7PF20PPM</t>
  </si>
  <si>
    <t>Seiko Epson</t>
  </si>
  <si>
    <t>32.768kHz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</si>
</sst>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7"/>
  <sheetViews>
    <sheetView tabSelected="1" workbookViewId="0">
      <selection activeCell="F16" sqref="F1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36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29</v>
      </c>
      <c r="K3" s="9"/>
    </row>
    <row r="4" ht="15.75" spans="1:11">
      <c r="A4" s="2"/>
      <c r="B4" s="7">
        <f t="shared" ref="B4:B47" si="0">ROW(B4)-ROW($B$2)</f>
        <v>2</v>
      </c>
      <c r="C4" s="11" t="s">
        <v>10</v>
      </c>
      <c r="D4" s="12" t="s">
        <v>17</v>
      </c>
      <c r="E4" s="13" t="s">
        <v>18</v>
      </c>
      <c r="F4" s="12" t="s">
        <v>19</v>
      </c>
      <c r="G4" s="13" t="s">
        <v>20</v>
      </c>
      <c r="H4" s="12" t="s">
        <v>21</v>
      </c>
      <c r="I4" s="13" t="s">
        <v>22</v>
      </c>
      <c r="J4" s="12">
        <v>2</v>
      </c>
      <c r="K4" s="12"/>
    </row>
    <row r="5" spans="1:11">
      <c r="A5" s="2"/>
      <c r="B5" s="7">
        <f t="shared" si="0"/>
        <v>3</v>
      </c>
      <c r="C5" s="8" t="s">
        <v>10</v>
      </c>
      <c r="D5" s="9" t="s">
        <v>23</v>
      </c>
      <c r="E5" s="10" t="s">
        <v>24</v>
      </c>
      <c r="F5" s="9" t="s">
        <v>13</v>
      </c>
      <c r="G5" s="10" t="s">
        <v>25</v>
      </c>
      <c r="H5" s="9" t="s">
        <v>26</v>
      </c>
      <c r="I5" s="10" t="s">
        <v>27</v>
      </c>
      <c r="J5" s="9">
        <v>2</v>
      </c>
      <c r="K5" s="9"/>
    </row>
    <row r="6" spans="1:11">
      <c r="A6" s="2"/>
      <c r="B6" s="7">
        <f t="shared" si="0"/>
        <v>4</v>
      </c>
      <c r="C6" s="11" t="s">
        <v>10</v>
      </c>
      <c r="D6" s="12" t="s">
        <v>28</v>
      </c>
      <c r="E6" s="13" t="s">
        <v>29</v>
      </c>
      <c r="F6" s="12" t="s">
        <v>30</v>
      </c>
      <c r="G6" s="13" t="s">
        <v>31</v>
      </c>
      <c r="H6" s="12" t="s">
        <v>21</v>
      </c>
      <c r="I6" s="13" t="s">
        <v>32</v>
      </c>
      <c r="J6" s="12">
        <v>2</v>
      </c>
      <c r="K6" s="12"/>
    </row>
    <row r="7" spans="1:11">
      <c r="A7" s="2"/>
      <c r="B7" s="7">
        <f t="shared" si="0"/>
        <v>5</v>
      </c>
      <c r="C7" s="11" t="s">
        <v>10</v>
      </c>
      <c r="D7" s="9" t="s">
        <v>33</v>
      </c>
      <c r="E7" s="10" t="s">
        <v>34</v>
      </c>
      <c r="F7" s="9" t="s">
        <v>35</v>
      </c>
      <c r="G7" s="10" t="s">
        <v>36</v>
      </c>
      <c r="H7" s="9" t="s">
        <v>15</v>
      </c>
      <c r="I7" s="10" t="s">
        <v>37</v>
      </c>
      <c r="J7" s="9">
        <v>6</v>
      </c>
      <c r="K7" s="9"/>
    </row>
    <row r="8" spans="1:11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40</v>
      </c>
      <c r="G8" s="13" t="s">
        <v>41</v>
      </c>
      <c r="H8" s="12" t="s">
        <v>21</v>
      </c>
      <c r="I8" s="13" t="s">
        <v>42</v>
      </c>
      <c r="J8" s="12">
        <v>2</v>
      </c>
      <c r="K8" s="12"/>
    </row>
    <row r="9" ht="15.75" spans="1:11">
      <c r="A9" s="2"/>
      <c r="B9" s="7">
        <f t="shared" si="0"/>
        <v>7</v>
      </c>
      <c r="C9" s="8" t="s">
        <v>10</v>
      </c>
      <c r="D9" s="9" t="s">
        <v>43</v>
      </c>
      <c r="E9" s="10" t="s">
        <v>44</v>
      </c>
      <c r="F9" s="9" t="s">
        <v>13</v>
      </c>
      <c r="G9" s="10" t="s">
        <v>45</v>
      </c>
      <c r="H9" s="9" t="s">
        <v>46</v>
      </c>
      <c r="I9" s="10" t="s">
        <v>37</v>
      </c>
      <c r="J9" s="9">
        <v>4</v>
      </c>
      <c r="K9" s="9"/>
    </row>
    <row r="10" ht="15.75" spans="1:11">
      <c r="A10" s="2"/>
      <c r="B10" s="7">
        <f t="shared" si="0"/>
        <v>8</v>
      </c>
      <c r="C10" s="11" t="s">
        <v>10</v>
      </c>
      <c r="D10" s="12" t="s">
        <v>47</v>
      </c>
      <c r="E10" s="13" t="s">
        <v>48</v>
      </c>
      <c r="F10" s="12" t="s">
        <v>35</v>
      </c>
      <c r="G10" s="13" t="s">
        <v>49</v>
      </c>
      <c r="H10" s="12" t="s">
        <v>21</v>
      </c>
      <c r="I10" s="13" t="s">
        <v>50</v>
      </c>
      <c r="J10" s="12">
        <v>1</v>
      </c>
      <c r="K10" s="12"/>
    </row>
    <row r="11" ht="24.75" spans="1:11">
      <c r="A11" s="2"/>
      <c r="B11" s="7">
        <f t="shared" si="0"/>
        <v>9</v>
      </c>
      <c r="C11" s="8" t="s">
        <v>51</v>
      </c>
      <c r="D11" s="9" t="s">
        <v>52</v>
      </c>
      <c r="E11" s="10" t="s">
        <v>53</v>
      </c>
      <c r="F11" s="9" t="s">
        <v>54</v>
      </c>
      <c r="G11" s="10" t="s">
        <v>55</v>
      </c>
      <c r="H11" s="9" t="s">
        <v>56</v>
      </c>
      <c r="I11" s="10" t="s">
        <v>57</v>
      </c>
      <c r="J11" s="9">
        <v>1</v>
      </c>
      <c r="K11" s="9"/>
    </row>
    <row r="12" spans="1:11">
      <c r="A12" s="2"/>
      <c r="B12" s="7">
        <f t="shared" si="0"/>
        <v>10</v>
      </c>
      <c r="C12" s="11" t="s">
        <v>58</v>
      </c>
      <c r="D12" s="12" t="s">
        <v>59</v>
      </c>
      <c r="E12" s="13" t="s">
        <v>60</v>
      </c>
      <c r="F12" s="12" t="s">
        <v>61</v>
      </c>
      <c r="G12" s="13" t="s">
        <v>62</v>
      </c>
      <c r="H12" s="12" t="s">
        <v>63</v>
      </c>
      <c r="I12" s="13" t="s">
        <v>57</v>
      </c>
      <c r="J12" s="12">
        <v>1</v>
      </c>
      <c r="K12" s="12"/>
    </row>
    <row r="13" spans="1:11">
      <c r="A13" s="2"/>
      <c r="B13" s="7">
        <f t="shared" si="0"/>
        <v>11</v>
      </c>
      <c r="C13" s="8" t="s">
        <v>51</v>
      </c>
      <c r="D13" s="9" t="s">
        <v>64</v>
      </c>
      <c r="E13" s="10" t="s">
        <v>65</v>
      </c>
      <c r="F13" s="9" t="s">
        <v>66</v>
      </c>
      <c r="G13" s="10" t="s">
        <v>67</v>
      </c>
      <c r="H13" s="9" t="s">
        <v>68</v>
      </c>
      <c r="I13" s="10" t="s">
        <v>57</v>
      </c>
      <c r="J13" s="9">
        <v>1</v>
      </c>
      <c r="K13" s="9"/>
    </row>
    <row r="14" ht="48.75" spans="1:11">
      <c r="A14" s="2"/>
      <c r="B14" s="7">
        <f t="shared" si="0"/>
        <v>12</v>
      </c>
      <c r="C14" s="11" t="s">
        <v>58</v>
      </c>
      <c r="D14" s="12" t="s">
        <v>69</v>
      </c>
      <c r="E14" s="13" t="s">
        <v>70</v>
      </c>
      <c r="F14" s="12" t="s">
        <v>71</v>
      </c>
      <c r="G14" s="13" t="s">
        <v>72</v>
      </c>
      <c r="H14" s="12" t="s">
        <v>73</v>
      </c>
      <c r="I14" s="13" t="s">
        <v>57</v>
      </c>
      <c r="J14" s="12">
        <v>34</v>
      </c>
      <c r="K14" s="12"/>
    </row>
    <row r="15" ht="36.75" spans="1:11">
      <c r="A15" s="2"/>
      <c r="B15" s="7">
        <f t="shared" si="0"/>
        <v>13</v>
      </c>
      <c r="C15" s="8" t="s">
        <v>74</v>
      </c>
      <c r="D15" s="9" t="s">
        <v>75</v>
      </c>
      <c r="E15" s="10" t="s">
        <v>76</v>
      </c>
      <c r="F15" s="9" t="s">
        <v>77</v>
      </c>
      <c r="G15" s="10" t="s">
        <v>78</v>
      </c>
      <c r="H15" s="9" t="s">
        <v>79</v>
      </c>
      <c r="I15" s="10" t="s">
        <v>57</v>
      </c>
      <c r="J15" s="9">
        <v>1</v>
      </c>
      <c r="K15" s="9"/>
    </row>
    <row r="16" ht="15.75" spans="1:11">
      <c r="A16" s="2"/>
      <c r="B16" s="7">
        <f t="shared" si="0"/>
        <v>14</v>
      </c>
      <c r="C16" s="11" t="s">
        <v>80</v>
      </c>
      <c r="D16" s="12" t="s">
        <v>81</v>
      </c>
      <c r="E16" s="13" t="s">
        <v>82</v>
      </c>
      <c r="F16" s="12" t="s">
        <v>83</v>
      </c>
      <c r="G16" s="13" t="s">
        <v>84</v>
      </c>
      <c r="H16" s="12" t="s">
        <v>85</v>
      </c>
      <c r="I16" s="13" t="s">
        <v>57</v>
      </c>
      <c r="J16" s="12">
        <v>1</v>
      </c>
      <c r="K16" s="12"/>
    </row>
    <row r="17" ht="15.75" spans="1:11">
      <c r="A17" s="2"/>
      <c r="B17" s="7">
        <f t="shared" si="0"/>
        <v>15</v>
      </c>
      <c r="C17" s="8" t="s">
        <v>86</v>
      </c>
      <c r="D17" s="9" t="s">
        <v>87</v>
      </c>
      <c r="E17" s="10" t="s">
        <v>88</v>
      </c>
      <c r="F17" s="9" t="s">
        <v>89</v>
      </c>
      <c r="G17" s="10" t="s">
        <v>90</v>
      </c>
      <c r="H17" s="9" t="s">
        <v>91</v>
      </c>
      <c r="I17" s="10" t="s">
        <v>57</v>
      </c>
      <c r="J17" s="9">
        <v>1</v>
      </c>
      <c r="K17" s="9"/>
    </row>
    <row r="18" spans="1:11">
      <c r="A18" s="2"/>
      <c r="B18" s="7">
        <f t="shared" si="0"/>
        <v>16</v>
      </c>
      <c r="C18" s="11" t="s">
        <v>51</v>
      </c>
      <c r="D18" s="12" t="s">
        <v>92</v>
      </c>
      <c r="E18" s="13" t="s">
        <v>93</v>
      </c>
      <c r="F18" s="12" t="s">
        <v>94</v>
      </c>
      <c r="G18" s="13" t="s">
        <v>95</v>
      </c>
      <c r="H18" s="12" t="s">
        <v>73</v>
      </c>
      <c r="I18" s="13" t="s">
        <v>57</v>
      </c>
      <c r="J18" s="12">
        <v>2</v>
      </c>
      <c r="K18" s="12"/>
    </row>
    <row r="19" spans="1:11">
      <c r="A19" s="2"/>
      <c r="B19" s="7">
        <f t="shared" si="0"/>
        <v>17</v>
      </c>
      <c r="C19" s="8" t="s">
        <v>96</v>
      </c>
      <c r="D19" s="9" t="s">
        <v>97</v>
      </c>
      <c r="E19" s="10" t="s">
        <v>98</v>
      </c>
      <c r="F19" s="9" t="s">
        <v>99</v>
      </c>
      <c r="G19" s="10" t="s">
        <v>100</v>
      </c>
      <c r="H19" s="9" t="s">
        <v>15</v>
      </c>
      <c r="I19" s="10" t="s">
        <v>57</v>
      </c>
      <c r="J19" s="9">
        <v>2</v>
      </c>
      <c r="K19" s="9"/>
    </row>
    <row r="20" spans="1:11">
      <c r="A20" s="2"/>
      <c r="B20" s="7">
        <f t="shared" si="0"/>
        <v>18</v>
      </c>
      <c r="C20" s="11" t="s">
        <v>101</v>
      </c>
      <c r="D20" s="12" t="s">
        <v>102</v>
      </c>
      <c r="E20" s="13" t="s">
        <v>103</v>
      </c>
      <c r="F20" s="12" t="s">
        <v>94</v>
      </c>
      <c r="G20" s="13" t="s">
        <v>104</v>
      </c>
      <c r="H20" s="12" t="s">
        <v>105</v>
      </c>
      <c r="I20" s="13" t="s">
        <v>57</v>
      </c>
      <c r="J20" s="12">
        <v>10</v>
      </c>
      <c r="K20" s="12"/>
    </row>
    <row r="21" ht="48.75" spans="1:11">
      <c r="A21" s="2"/>
      <c r="B21" s="7">
        <f t="shared" si="0"/>
        <v>19</v>
      </c>
      <c r="C21" s="8" t="s">
        <v>106</v>
      </c>
      <c r="D21" s="9" t="s">
        <v>107</v>
      </c>
      <c r="E21" s="10" t="s">
        <v>108</v>
      </c>
      <c r="F21" s="9" t="s">
        <v>109</v>
      </c>
      <c r="G21" s="10" t="s">
        <v>110</v>
      </c>
      <c r="H21" s="9" t="s">
        <v>111</v>
      </c>
      <c r="I21" s="10" t="s">
        <v>57</v>
      </c>
      <c r="J21" s="9">
        <v>1</v>
      </c>
      <c r="K21" s="9"/>
    </row>
    <row r="22" ht="26.25" spans="1:11">
      <c r="A22" s="2"/>
      <c r="B22" s="7">
        <f t="shared" si="0"/>
        <v>20</v>
      </c>
      <c r="C22" s="11" t="s">
        <v>112</v>
      </c>
      <c r="D22" s="12" t="s">
        <v>113</v>
      </c>
      <c r="E22" s="13" t="s">
        <v>114</v>
      </c>
      <c r="F22" s="12" t="s">
        <v>94</v>
      </c>
      <c r="G22" s="13">
        <v>533980367</v>
      </c>
      <c r="H22" s="12" t="s">
        <v>115</v>
      </c>
      <c r="I22" s="13" t="s">
        <v>57</v>
      </c>
      <c r="J22" s="12">
        <v>1</v>
      </c>
      <c r="K22" s="12"/>
    </row>
    <row r="23" ht="48.75" spans="1:11">
      <c r="A23" s="2"/>
      <c r="B23" s="7">
        <f t="shared" si="0"/>
        <v>21</v>
      </c>
      <c r="C23" s="8" t="s">
        <v>116</v>
      </c>
      <c r="D23" s="9" t="s">
        <v>117</v>
      </c>
      <c r="E23" s="10" t="s">
        <v>118</v>
      </c>
      <c r="F23" s="9" t="s">
        <v>94</v>
      </c>
      <c r="G23" s="10" t="s">
        <v>119</v>
      </c>
      <c r="H23" s="9" t="s">
        <v>120</v>
      </c>
      <c r="I23" s="10" t="s">
        <v>57</v>
      </c>
      <c r="J23" s="9">
        <v>1</v>
      </c>
      <c r="K23" s="9"/>
    </row>
    <row r="24" ht="24.75" spans="1:11">
      <c r="A24" s="2"/>
      <c r="B24" s="7">
        <f t="shared" si="0"/>
        <v>22</v>
      </c>
      <c r="C24" s="11" t="s">
        <v>121</v>
      </c>
      <c r="D24" s="12" t="s">
        <v>122</v>
      </c>
      <c r="E24" s="13" t="s">
        <v>123</v>
      </c>
      <c r="F24" s="12" t="s">
        <v>94</v>
      </c>
      <c r="G24" s="13" t="s">
        <v>124</v>
      </c>
      <c r="H24" s="12" t="s">
        <v>125</v>
      </c>
      <c r="I24" s="13" t="s">
        <v>57</v>
      </c>
      <c r="J24" s="12">
        <v>1</v>
      </c>
      <c r="K24" s="12"/>
    </row>
    <row r="25" spans="1:11">
      <c r="A25" s="2"/>
      <c r="B25" s="7">
        <f t="shared" si="0"/>
        <v>23</v>
      </c>
      <c r="C25" s="8" t="s">
        <v>126</v>
      </c>
      <c r="D25" s="9" t="s">
        <v>127</v>
      </c>
      <c r="E25" s="10" t="s">
        <v>128</v>
      </c>
      <c r="F25" s="9" t="s">
        <v>94</v>
      </c>
      <c r="G25" s="10" t="s">
        <v>129</v>
      </c>
      <c r="H25" s="9" t="s">
        <v>130</v>
      </c>
      <c r="I25" s="10" t="s">
        <v>57</v>
      </c>
      <c r="J25" s="9">
        <v>1</v>
      </c>
      <c r="K25" s="9"/>
    </row>
    <row r="26" ht="36.75" spans="1:11">
      <c r="A26" s="2"/>
      <c r="B26" s="7">
        <f t="shared" si="0"/>
        <v>24</v>
      </c>
      <c r="C26" s="11" t="s">
        <v>131</v>
      </c>
      <c r="D26" s="12" t="s">
        <v>132</v>
      </c>
      <c r="E26" s="13" t="s">
        <v>133</v>
      </c>
      <c r="F26" s="12" t="s">
        <v>94</v>
      </c>
      <c r="G26" s="13" t="s">
        <v>134</v>
      </c>
      <c r="H26" s="12" t="s">
        <v>135</v>
      </c>
      <c r="I26" s="13" t="s">
        <v>57</v>
      </c>
      <c r="J26" s="12">
        <v>1</v>
      </c>
      <c r="K26" s="12"/>
    </row>
    <row r="27" spans="1:11">
      <c r="A27" s="2"/>
      <c r="B27" s="7">
        <f t="shared" si="0"/>
        <v>25</v>
      </c>
      <c r="C27" s="8" t="s">
        <v>136</v>
      </c>
      <c r="D27" s="9" t="s">
        <v>137</v>
      </c>
      <c r="E27" s="10" t="s">
        <v>138</v>
      </c>
      <c r="F27" s="9" t="s">
        <v>61</v>
      </c>
      <c r="G27" s="10" t="s">
        <v>139</v>
      </c>
      <c r="H27" s="9" t="s">
        <v>140</v>
      </c>
      <c r="I27" s="10" t="s">
        <v>57</v>
      </c>
      <c r="J27" s="9">
        <v>2</v>
      </c>
      <c r="K27" s="9"/>
    </row>
    <row r="28" ht="15.75" spans="1:11">
      <c r="A28" s="2"/>
      <c r="B28" s="7">
        <f t="shared" si="0"/>
        <v>26</v>
      </c>
      <c r="C28" s="11" t="s">
        <v>141</v>
      </c>
      <c r="D28" s="12" t="s">
        <v>142</v>
      </c>
      <c r="E28" s="13" t="s">
        <v>143</v>
      </c>
      <c r="F28" s="12" t="s">
        <v>144</v>
      </c>
      <c r="G28" s="13" t="s">
        <v>145</v>
      </c>
      <c r="H28" s="12" t="s">
        <v>21</v>
      </c>
      <c r="I28" s="13" t="s">
        <v>146</v>
      </c>
      <c r="J28" s="12">
        <v>5</v>
      </c>
      <c r="K28" s="12"/>
    </row>
    <row r="29" ht="15.75" spans="1:11">
      <c r="A29" s="2"/>
      <c r="B29" s="7">
        <f t="shared" si="0"/>
        <v>27</v>
      </c>
      <c r="C29" s="8" t="s">
        <v>141</v>
      </c>
      <c r="D29" s="9" t="s">
        <v>147</v>
      </c>
      <c r="E29" s="10" t="s">
        <v>148</v>
      </c>
      <c r="F29" s="9" t="s">
        <v>149</v>
      </c>
      <c r="G29" s="10" t="s">
        <v>150</v>
      </c>
      <c r="H29" s="9" t="s">
        <v>21</v>
      </c>
      <c r="I29" s="10" t="s">
        <v>151</v>
      </c>
      <c r="J29" s="9">
        <v>1</v>
      </c>
      <c r="K29" s="9"/>
    </row>
    <row r="30" ht="15.75" spans="1:11">
      <c r="A30" s="2"/>
      <c r="B30" s="7">
        <f t="shared" si="0"/>
        <v>28</v>
      </c>
      <c r="C30" s="11" t="s">
        <v>141</v>
      </c>
      <c r="D30" s="12" t="s">
        <v>152</v>
      </c>
      <c r="E30" s="13" t="s">
        <v>153</v>
      </c>
      <c r="F30" s="12" t="s">
        <v>149</v>
      </c>
      <c r="G30" s="13" t="s">
        <v>154</v>
      </c>
      <c r="H30" s="12" t="s">
        <v>21</v>
      </c>
      <c r="I30" s="13" t="s">
        <v>155</v>
      </c>
      <c r="J30" s="12">
        <v>6</v>
      </c>
      <c r="K30" s="12"/>
    </row>
    <row r="31" ht="24.75" spans="1:11">
      <c r="A31" s="2"/>
      <c r="B31" s="7">
        <f t="shared" si="0"/>
        <v>29</v>
      </c>
      <c r="C31" s="8" t="s">
        <v>156</v>
      </c>
      <c r="D31" s="9" t="s">
        <v>157</v>
      </c>
      <c r="E31" s="10" t="s">
        <v>158</v>
      </c>
      <c r="F31" s="9" t="s">
        <v>144</v>
      </c>
      <c r="G31" s="10" t="s">
        <v>159</v>
      </c>
      <c r="H31" s="9" t="s">
        <v>160</v>
      </c>
      <c r="I31" s="10" t="s">
        <v>161</v>
      </c>
      <c r="J31" s="9">
        <v>2</v>
      </c>
      <c r="K31" s="9"/>
    </row>
    <row r="32" spans="1:11">
      <c r="A32" s="2"/>
      <c r="B32" s="7">
        <f t="shared" si="0"/>
        <v>30</v>
      </c>
      <c r="C32" s="8" t="s">
        <v>141</v>
      </c>
      <c r="D32" s="12" t="s">
        <v>162</v>
      </c>
      <c r="E32" s="13" t="s">
        <v>163</v>
      </c>
      <c r="F32" s="12" t="s">
        <v>149</v>
      </c>
      <c r="G32" s="13" t="s">
        <v>164</v>
      </c>
      <c r="H32" s="12" t="s">
        <v>21</v>
      </c>
      <c r="I32" s="13" t="s">
        <v>165</v>
      </c>
      <c r="J32" s="12">
        <v>1</v>
      </c>
      <c r="K32" s="12"/>
    </row>
    <row r="33" spans="1:11">
      <c r="A33" s="2"/>
      <c r="B33" s="7">
        <f t="shared" si="0"/>
        <v>31</v>
      </c>
      <c r="C33" s="8" t="s">
        <v>141</v>
      </c>
      <c r="D33" s="9" t="s">
        <v>166</v>
      </c>
      <c r="E33" s="10" t="s">
        <v>167</v>
      </c>
      <c r="F33" s="9" t="s">
        <v>144</v>
      </c>
      <c r="G33" s="10" t="s">
        <v>168</v>
      </c>
      <c r="H33" s="9" t="s">
        <v>21</v>
      </c>
      <c r="I33" s="10" t="s">
        <v>169</v>
      </c>
      <c r="J33" s="9">
        <v>2</v>
      </c>
      <c r="K33" s="9"/>
    </row>
    <row r="34" spans="1:11">
      <c r="A34" s="2"/>
      <c r="B34" s="7">
        <f t="shared" si="0"/>
        <v>32</v>
      </c>
      <c r="C34" s="11" t="s">
        <v>141</v>
      </c>
      <c r="D34" s="12" t="s">
        <v>170</v>
      </c>
      <c r="E34" s="13" t="s">
        <v>171</v>
      </c>
      <c r="F34" s="12" t="s">
        <v>144</v>
      </c>
      <c r="G34" s="13" t="s">
        <v>172</v>
      </c>
      <c r="H34" s="12" t="s">
        <v>21</v>
      </c>
      <c r="I34" s="13" t="s">
        <v>173</v>
      </c>
      <c r="J34" s="12">
        <v>2</v>
      </c>
      <c r="K34" s="12"/>
    </row>
    <row r="35" ht="15.75" spans="1:11">
      <c r="A35" s="2"/>
      <c r="B35" s="7">
        <f t="shared" si="0"/>
        <v>33</v>
      </c>
      <c r="C35" s="8" t="s">
        <v>141</v>
      </c>
      <c r="D35" s="9" t="s">
        <v>174</v>
      </c>
      <c r="E35" s="10" t="s">
        <v>175</v>
      </c>
      <c r="F35" s="9" t="s">
        <v>149</v>
      </c>
      <c r="G35" s="10" t="s">
        <v>176</v>
      </c>
      <c r="H35" s="9" t="s">
        <v>21</v>
      </c>
      <c r="I35" s="10" t="s">
        <v>177</v>
      </c>
      <c r="J35" s="9">
        <v>2</v>
      </c>
      <c r="K35" s="9"/>
    </row>
    <row r="36" ht="15.75" spans="1:11">
      <c r="A36" s="2"/>
      <c r="B36" s="7">
        <f t="shared" si="0"/>
        <v>34</v>
      </c>
      <c r="C36" s="11" t="s">
        <v>178</v>
      </c>
      <c r="D36" s="12" t="s">
        <v>179</v>
      </c>
      <c r="E36" s="13" t="s">
        <v>180</v>
      </c>
      <c r="F36" s="12" t="s">
        <v>144</v>
      </c>
      <c r="G36" s="13" t="s">
        <v>181</v>
      </c>
      <c r="H36" s="12" t="s">
        <v>182</v>
      </c>
      <c r="I36" s="13" t="s">
        <v>183</v>
      </c>
      <c r="J36" s="12">
        <v>2</v>
      </c>
      <c r="K36" s="12"/>
    </row>
    <row r="37" ht="15.75" spans="1:11">
      <c r="A37" s="2"/>
      <c r="B37" s="7">
        <f t="shared" si="0"/>
        <v>35</v>
      </c>
      <c r="C37" s="8" t="s">
        <v>141</v>
      </c>
      <c r="D37" s="9" t="s">
        <v>184</v>
      </c>
      <c r="E37" s="10" t="s">
        <v>185</v>
      </c>
      <c r="F37" s="9" t="s">
        <v>144</v>
      </c>
      <c r="G37" s="10" t="s">
        <v>186</v>
      </c>
      <c r="H37" s="9" t="s">
        <v>21</v>
      </c>
      <c r="I37" s="10" t="s">
        <v>187</v>
      </c>
      <c r="J37" s="9">
        <v>2</v>
      </c>
      <c r="K37" s="9"/>
    </row>
    <row r="38" ht="36.75" spans="1:11">
      <c r="A38" s="2"/>
      <c r="B38" s="7">
        <f t="shared" si="0"/>
        <v>36</v>
      </c>
      <c r="C38" s="11" t="s">
        <v>101</v>
      </c>
      <c r="D38" s="12" t="s">
        <v>188</v>
      </c>
      <c r="E38" s="13" t="s">
        <v>189</v>
      </c>
      <c r="F38" s="12" t="s">
        <v>94</v>
      </c>
      <c r="G38" s="13" t="s">
        <v>190</v>
      </c>
      <c r="H38" s="12" t="s">
        <v>191</v>
      </c>
      <c r="I38" s="13" t="s">
        <v>57</v>
      </c>
      <c r="J38" s="12">
        <v>1</v>
      </c>
      <c r="K38" s="12"/>
    </row>
    <row r="39" spans="1:11">
      <c r="A39" s="2"/>
      <c r="B39" s="7">
        <f t="shared" si="0"/>
        <v>37</v>
      </c>
      <c r="C39" s="8" t="s">
        <v>192</v>
      </c>
      <c r="D39" s="9" t="s">
        <v>193</v>
      </c>
      <c r="E39" s="10" t="s">
        <v>194</v>
      </c>
      <c r="F39" s="9" t="s">
        <v>94</v>
      </c>
      <c r="G39" s="10" t="s">
        <v>195</v>
      </c>
      <c r="H39" s="9" t="s">
        <v>196</v>
      </c>
      <c r="I39" s="10" t="s">
        <v>57</v>
      </c>
      <c r="J39" s="9">
        <v>1</v>
      </c>
      <c r="K39" s="9"/>
    </row>
    <row r="40" spans="1:11">
      <c r="A40" s="2"/>
      <c r="B40" s="7">
        <f t="shared" si="0"/>
        <v>38</v>
      </c>
      <c r="C40" s="11" t="s">
        <v>197</v>
      </c>
      <c r="D40" s="12" t="s">
        <v>198</v>
      </c>
      <c r="E40" s="13" t="s">
        <v>199</v>
      </c>
      <c r="F40" s="12" t="s">
        <v>200</v>
      </c>
      <c r="G40" s="13" t="s">
        <v>201</v>
      </c>
      <c r="H40" s="12" t="s">
        <v>202</v>
      </c>
      <c r="I40" s="13" t="s">
        <v>57</v>
      </c>
      <c r="J40" s="12">
        <v>1</v>
      </c>
      <c r="K40" s="12"/>
    </row>
    <row r="41" spans="1:11">
      <c r="A41" s="2"/>
      <c r="B41" s="7">
        <f t="shared" si="0"/>
        <v>39</v>
      </c>
      <c r="C41" s="8" t="s">
        <v>197</v>
      </c>
      <c r="D41" s="9" t="s">
        <v>203</v>
      </c>
      <c r="E41" s="10" t="s">
        <v>204</v>
      </c>
      <c r="F41" s="9" t="s">
        <v>205</v>
      </c>
      <c r="G41" s="10" t="s">
        <v>206</v>
      </c>
      <c r="H41" s="9" t="s">
        <v>207</v>
      </c>
      <c r="I41" s="10" t="s">
        <v>57</v>
      </c>
      <c r="J41" s="9">
        <v>1</v>
      </c>
      <c r="K41" s="9"/>
    </row>
    <row r="42" spans="1:11">
      <c r="A42" s="2"/>
      <c r="B42" s="7">
        <f t="shared" si="0"/>
        <v>40</v>
      </c>
      <c r="C42" s="11" t="s">
        <v>197</v>
      </c>
      <c r="D42" s="12" t="s">
        <v>208</v>
      </c>
      <c r="E42" s="13" t="s">
        <v>209</v>
      </c>
      <c r="F42" s="12" t="s">
        <v>210</v>
      </c>
      <c r="G42" s="13" t="s">
        <v>211</v>
      </c>
      <c r="H42" s="12" t="s">
        <v>212</v>
      </c>
      <c r="I42" s="13" t="s">
        <v>57</v>
      </c>
      <c r="J42" s="12">
        <v>6</v>
      </c>
      <c r="K42" s="12"/>
    </row>
    <row r="43" spans="1:11">
      <c r="A43" s="2"/>
      <c r="B43" s="7">
        <f t="shared" si="0"/>
        <v>41</v>
      </c>
      <c r="C43" s="8" t="s">
        <v>197</v>
      </c>
      <c r="D43" s="9" t="s">
        <v>213</v>
      </c>
      <c r="E43" s="10" t="s">
        <v>214</v>
      </c>
      <c r="F43" s="9" t="s">
        <v>215</v>
      </c>
      <c r="G43" s="10" t="s">
        <v>216</v>
      </c>
      <c r="H43" s="9" t="s">
        <v>212</v>
      </c>
      <c r="I43" s="10" t="s">
        <v>57</v>
      </c>
      <c r="J43" s="9">
        <v>6</v>
      </c>
      <c r="K43" s="9"/>
    </row>
    <row r="44" spans="1:11">
      <c r="A44" s="2"/>
      <c r="B44" s="7">
        <f t="shared" si="0"/>
        <v>42</v>
      </c>
      <c r="C44" s="11" t="s">
        <v>197</v>
      </c>
      <c r="D44" s="12" t="s">
        <v>217</v>
      </c>
      <c r="E44" s="13" t="s">
        <v>218</v>
      </c>
      <c r="F44" s="12" t="s">
        <v>219</v>
      </c>
      <c r="G44" s="13" t="s">
        <v>220</v>
      </c>
      <c r="H44" s="12" t="s">
        <v>212</v>
      </c>
      <c r="I44" s="13" t="s">
        <v>57</v>
      </c>
      <c r="J44" s="12">
        <v>1</v>
      </c>
      <c r="K44" s="12"/>
    </row>
    <row r="45" spans="1:11">
      <c r="A45" s="2"/>
      <c r="B45" s="7">
        <f t="shared" si="0"/>
        <v>43</v>
      </c>
      <c r="C45" s="8" t="s">
        <v>197</v>
      </c>
      <c r="D45" s="9" t="s">
        <v>221</v>
      </c>
      <c r="E45" s="10" t="s">
        <v>222</v>
      </c>
      <c r="F45" s="9" t="s">
        <v>223</v>
      </c>
      <c r="G45" s="10" t="s">
        <v>224</v>
      </c>
      <c r="H45" s="9" t="s">
        <v>212</v>
      </c>
      <c r="I45" s="10" t="s">
        <v>57</v>
      </c>
      <c r="J45" s="9">
        <v>1</v>
      </c>
      <c r="K45" s="9"/>
    </row>
    <row r="46" ht="36.75" spans="1:11">
      <c r="A46" s="2"/>
      <c r="B46" s="7">
        <f t="shared" si="0"/>
        <v>44</v>
      </c>
      <c r="C46" s="11" t="s">
        <v>225</v>
      </c>
      <c r="D46" s="12" t="s">
        <v>226</v>
      </c>
      <c r="E46" s="13" t="s">
        <v>227</v>
      </c>
      <c r="F46" s="12" t="s">
        <v>228</v>
      </c>
      <c r="G46" s="13" t="s">
        <v>229</v>
      </c>
      <c r="H46" s="12" t="s">
        <v>230</v>
      </c>
      <c r="I46" s="13" t="s">
        <v>231</v>
      </c>
      <c r="J46" s="12">
        <v>1</v>
      </c>
      <c r="K46" s="12"/>
    </row>
    <row r="47" ht="15.75" spans="1:11">
      <c r="A47" s="2"/>
      <c r="B47" s="7">
        <f t="shared" si="0"/>
        <v>45</v>
      </c>
      <c r="C47" s="8" t="s">
        <v>232</v>
      </c>
      <c r="D47" s="9" t="s">
        <v>233</v>
      </c>
      <c r="E47" s="10" t="s">
        <v>234</v>
      </c>
      <c r="F47" s="9" t="s">
        <v>235</v>
      </c>
      <c r="G47" s="10" t="s">
        <v>236</v>
      </c>
      <c r="H47" s="9" t="s">
        <v>237</v>
      </c>
      <c r="I47" s="10" t="s">
        <v>238</v>
      </c>
      <c r="J47" s="9">
        <v>1</v>
      </c>
      <c r="K4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2024-11-07T18:11:48Z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8DA6AF84C0F84F879C2DA604F58F1ABD_12</vt:lpwstr>
  </property>
  <property fmtid="{D5CDD505-2E9C-101B-9397-08002B2CF9AE}" pid="3" name="KSOProductBuildVer">
    <vt:lpwstr>1033-12.2.0.18607</vt:lpwstr>
  </property>
</Properties>
</file>